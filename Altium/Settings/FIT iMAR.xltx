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VN\rep_IEP-I000125_Gravimeter-Designs_10_HW_00400-00693_iCORUS-UAV_Interface\30_IMPL\Settings\"/>
    </mc:Choice>
  </mc:AlternateContent>
  <xr:revisionPtr revIDLastSave="0" documentId="13_ncr:1_{7CAC33C2-6531-4296-A4AF-EB0D826EC0D3}" xr6:coauthVersionLast="36" xr6:coauthVersionMax="36" xr10:uidLastSave="{00000000-0000-0000-0000-000000000000}"/>
  <bookViews>
    <workbookView xWindow="1875" yWindow="6690" windowWidth="18180" windowHeight="9030" firstSheet="1" activeTab="1" xr2:uid="{00000000-000D-0000-FFFF-FFFF00000000}"/>
  </bookViews>
  <sheets>
    <sheet name="Hilfstabelle" sheetId="2" state="hidden" r:id="rId1"/>
    <sheet name="FIT" sheetId="1" r:id="rId2"/>
  </sheets>
  <calcPr calcId="191029" iterateDelta="1E-4"/>
</workbook>
</file>

<file path=xl/calcChain.xml><?xml version="1.0" encoding="utf-8"?>
<calcChain xmlns="http://schemas.openxmlformats.org/spreadsheetml/2006/main">
  <c r="T5" i="2" l="1"/>
  <c r="F14" i="1"/>
  <c r="F13" i="1"/>
  <c r="H13" i="1"/>
  <c r="T8" i="2" l="1"/>
  <c r="T11" i="2"/>
  <c r="D6" i="1"/>
  <c r="I14" i="1"/>
  <c r="J14" i="1"/>
  <c r="I13" i="1"/>
  <c r="J13" i="1"/>
  <c r="H14" i="1"/>
  <c r="E14" i="1"/>
  <c r="E13" i="1"/>
  <c r="J17" i="1"/>
  <c r="D2" i="1"/>
  <c r="D4" i="1"/>
  <c r="L13" i="2"/>
  <c r="L14" i="2"/>
</calcChain>
</file>

<file path=xl/sharedStrings.xml><?xml version="1.0" encoding="utf-8"?>
<sst xmlns="http://schemas.openxmlformats.org/spreadsheetml/2006/main" count="54" uniqueCount="54">
  <si>
    <t>Column=Quantity</t>
  </si>
  <si>
    <t>Column=Comment</t>
  </si>
  <si>
    <t>Platinen-Bezeichnung:</t>
  </si>
  <si>
    <t>Entwickler:</t>
  </si>
  <si>
    <t>Bestückungs-Variante:</t>
  </si>
  <si>
    <t>Baugruppe:</t>
  </si>
  <si>
    <t>Field=Baugruppe</t>
  </si>
  <si>
    <t>Dokument-Nr.:</t>
  </si>
  <si>
    <t>Column=Manufacturer</t>
  </si>
  <si>
    <t>Column=Partnumber</t>
  </si>
  <si>
    <t>Column=iMAR_Partnumber</t>
  </si>
  <si>
    <t>Column=iMAR_Description</t>
  </si>
  <si>
    <t>Revision-Nr:</t>
  </si>
  <si>
    <t>Versions-Buchstabe:</t>
  </si>
  <si>
    <t>Date:</t>
  </si>
  <si>
    <t>Dokument:</t>
  </si>
  <si>
    <t>Field=ENG_NAME</t>
  </si>
  <si>
    <t>Field=REV_CHAR</t>
  </si>
  <si>
    <t>iMAR_Partnumber</t>
  </si>
  <si>
    <t>Column=Manufacturer_PN</t>
  </si>
  <si>
    <t>Column=Description</t>
  </si>
  <si>
    <t>Description</t>
  </si>
  <si>
    <t>Manufacturer
Partnumber</t>
  </si>
  <si>
    <t>BAUGRUPPE</t>
  </si>
  <si>
    <t>Field=BAUGRUPPE</t>
  </si>
  <si>
    <t>PN1</t>
  </si>
  <si>
    <t>PN2</t>
  </si>
  <si>
    <t>PN3</t>
  </si>
  <si>
    <t>PN4</t>
  </si>
  <si>
    <t>Field=PN1</t>
  </si>
  <si>
    <t>Field=PN2</t>
  </si>
  <si>
    <t>Field=PN3</t>
  </si>
  <si>
    <t>Field=PN4</t>
  </si>
  <si>
    <t>VariantName</t>
  </si>
  <si>
    <t>Field=VariantName</t>
  </si>
  <si>
    <t>Platinen-Bezeichnung</t>
  </si>
  <si>
    <t>Bestückungs-Variante</t>
  </si>
  <si>
    <t>iMAR Navigation GmbH
Im Reihersbruch 3
D-66386 St. Ingbert</t>
  </si>
  <si>
    <t>www.imar.de</t>
  </si>
  <si>
    <t>Column=Failure_in_Time_value</t>
  </si>
  <si>
    <t>Part FIT (parts per million hours)</t>
  </si>
  <si>
    <t>Sum of Part FIT (parts per million hours)</t>
  </si>
  <si>
    <t>FIT of PCB in "parts per million hours"
(Ground Benign; 30°C)</t>
  </si>
  <si>
    <t>Column=Failure_in_Time_notes</t>
  </si>
  <si>
    <t>Column=iMAR_FIT_notes</t>
  </si>
  <si>
    <t>Column=iMAR_FIT_value</t>
  </si>
  <si>
    <t>FIT Report</t>
  </si>
  <si>
    <t>FIT-NAME</t>
  </si>
  <si>
    <t>FIT-Template:</t>
  </si>
  <si>
    <t>Field=MOD_DATE_FIT</t>
  </si>
  <si>
    <t>Field=REV_NR_FIT</t>
  </si>
  <si>
    <t>Field=DOC_NR_FIT</t>
  </si>
  <si>
    <t>Column=iMAR_PN</t>
  </si>
  <si>
    <t>FIT_iMAR.xltx
Rev. 2.01; 14.03.2024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</si>
</sst>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color indexed="8"/>
      <name val="MS Sans Serif"/>
      <family val="2"/>
    </font>
    <font>
      <b/>
      <sz val="7.9"/>
      <color indexed="8"/>
      <name val="Arial"/>
      <family val="2"/>
    </font>
    <font>
      <sz val="8"/>
      <name val="MS Sans Serif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color indexed="13"/>
      <name val="Arial"/>
      <family val="2"/>
    </font>
    <font>
      <sz val="10"/>
      <color indexed="47"/>
      <name val="Arial"/>
      <family val="2"/>
    </font>
    <font>
      <b/>
      <sz val="12"/>
      <color indexed="8"/>
      <name val="Arial"/>
      <family val="2"/>
    </font>
    <font>
      <sz val="8"/>
      <color indexed="47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8"/>
      <color indexed="8"/>
      <name val="MS Sans Serif"/>
      <family val="2"/>
    </font>
    <font>
      <sz val="10"/>
      <color indexed="47"/>
      <name val="Arial"/>
      <family val="2"/>
    </font>
    <font>
      <u/>
      <sz val="10"/>
      <color theme="10"/>
      <name val="MS Sans Serif"/>
      <family val="2"/>
    </font>
    <font>
      <sz val="8"/>
      <color theme="0" tint="-4.9989318521683403E-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14999847407452621"/>
        <bgColor indexed="64"/>
      </patternFill>
    </fill>
  </fills>
  <borders count="25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73">
    <xf numFmtId="0" fontId="0" fillId="0" borderId="0" xfId="0" applyNumberFormat="1" applyFill="1" applyBorder="1" applyAlignment="1" applyProtection="1"/>
    <xf numFmtId="0" fontId="3" fillId="0" borderId="0" xfId="0" applyNumberFormat="1" applyFont="1" applyFill="1" applyBorder="1" applyAlignment="1" applyProtection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top"/>
    </xf>
    <xf numFmtId="0" fontId="4" fillId="2" borderId="0" xfId="0" applyFont="1" applyFill="1" applyBorder="1" applyAlignment="1"/>
    <xf numFmtId="0" fontId="3" fillId="2" borderId="1" xfId="0" applyFont="1" applyFill="1" applyBorder="1" applyAlignment="1"/>
    <xf numFmtId="0" fontId="3" fillId="2" borderId="0" xfId="0" applyFont="1" applyFill="1" applyBorder="1" applyAlignment="1"/>
    <xf numFmtId="0" fontId="6" fillId="3" borderId="1" xfId="0" applyFont="1" applyFill="1" applyBorder="1" applyAlignment="1"/>
    <xf numFmtId="0" fontId="5" fillId="3" borderId="2" xfId="0" applyFont="1" applyFill="1" applyBorder="1" applyAlignment="1"/>
    <xf numFmtId="0" fontId="4" fillId="2" borderId="3" xfId="0" applyFont="1" applyFill="1" applyBorder="1" applyAlignment="1"/>
    <xf numFmtId="0" fontId="3" fillId="2" borderId="4" xfId="0" applyFont="1" applyFill="1" applyBorder="1" applyAlignment="1"/>
    <xf numFmtId="0" fontId="3" fillId="2" borderId="5" xfId="0" applyFont="1" applyFill="1" applyBorder="1" applyAlignment="1"/>
    <xf numFmtId="0" fontId="8" fillId="3" borderId="1" xfId="0" applyFont="1" applyFill="1" applyBorder="1" applyAlignment="1"/>
    <xf numFmtId="0" fontId="9" fillId="3" borderId="6" xfId="0" applyFont="1" applyFill="1" applyBorder="1" applyAlignment="1">
      <alignment horizontal="center" vertical="center"/>
    </xf>
    <xf numFmtId="0" fontId="10" fillId="0" borderId="0" xfId="0" applyNumberFormat="1" applyFont="1" applyFill="1" applyBorder="1" applyAlignment="1" applyProtection="1"/>
    <xf numFmtId="0" fontId="10" fillId="4" borderId="6" xfId="0" applyFont="1" applyFill="1" applyBorder="1" applyAlignment="1">
      <alignment horizontal="center" vertical="center" wrapText="1"/>
    </xf>
    <xf numFmtId="0" fontId="10" fillId="2" borderId="6" xfId="0" applyFont="1" applyFill="1" applyBorder="1" applyAlignment="1">
      <alignment horizontal="center" vertical="center" wrapText="1"/>
    </xf>
    <xf numFmtId="0" fontId="10" fillId="2" borderId="7" xfId="0" applyFont="1" applyFill="1" applyBorder="1" applyAlignment="1"/>
    <xf numFmtId="0" fontId="10" fillId="2" borderId="0" xfId="0" applyFont="1" applyFill="1" applyBorder="1" applyAlignment="1"/>
    <xf numFmtId="0" fontId="10" fillId="2" borderId="1" xfId="0" applyFont="1" applyFill="1" applyBorder="1" applyAlignment="1"/>
    <xf numFmtId="0" fontId="11" fillId="0" borderId="0" xfId="0" applyFont="1" applyAlignment="1">
      <alignment vertical="top"/>
    </xf>
    <xf numFmtId="0" fontId="12" fillId="3" borderId="1" xfId="0" applyFont="1" applyFill="1" applyBorder="1" applyAlignment="1"/>
    <xf numFmtId="0" fontId="4" fillId="2" borderId="7" xfId="0" applyFont="1" applyFill="1" applyBorder="1" applyAlignment="1"/>
    <xf numFmtId="0" fontId="0" fillId="0" borderId="0" xfId="0" applyFont="1" applyAlignment="1">
      <alignment vertical="top"/>
    </xf>
    <xf numFmtId="0" fontId="7" fillId="3" borderId="8" xfId="0" applyFont="1" applyFill="1" applyBorder="1" applyAlignment="1">
      <alignment vertical="center"/>
    </xf>
    <xf numFmtId="0" fontId="10" fillId="4" borderId="9" xfId="0" applyFont="1" applyFill="1" applyBorder="1" applyAlignment="1">
      <alignment horizontal="center" vertical="center"/>
    </xf>
    <xf numFmtId="0" fontId="10" fillId="4" borderId="9" xfId="0" applyFont="1" applyFill="1" applyBorder="1" applyAlignment="1">
      <alignment horizontal="center" vertical="center" wrapText="1"/>
    </xf>
    <xf numFmtId="0" fontId="3" fillId="0" borderId="10" xfId="0" applyNumberFormat="1" applyFont="1" applyFill="1" applyBorder="1" applyAlignment="1" applyProtection="1"/>
    <xf numFmtId="0" fontId="10" fillId="0" borderId="6" xfId="0" applyFont="1" applyFill="1" applyBorder="1" applyAlignment="1">
      <alignment horizontal="center" vertical="center" wrapText="1"/>
    </xf>
    <xf numFmtId="0" fontId="10" fillId="5" borderId="6" xfId="0" applyFont="1" applyFill="1" applyBorder="1" applyAlignment="1">
      <alignment horizontal="center" vertical="center" wrapText="1"/>
    </xf>
    <xf numFmtId="0" fontId="9" fillId="3" borderId="6" xfId="0" applyFont="1" applyFill="1" applyBorder="1" applyAlignment="1">
      <alignment horizontal="center" vertical="center" wrapText="1"/>
    </xf>
    <xf numFmtId="0" fontId="9" fillId="3" borderId="12" xfId="0" applyFont="1" applyFill="1" applyBorder="1" applyAlignment="1">
      <alignment horizontal="center" vertical="center" wrapText="1"/>
    </xf>
    <xf numFmtId="0" fontId="10" fillId="4" borderId="1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/>
    <xf numFmtId="0" fontId="9" fillId="3" borderId="11" xfId="0" applyFont="1" applyFill="1" applyBorder="1" applyAlignment="1">
      <alignment horizontal="center" vertical="center" wrapText="1"/>
    </xf>
    <xf numFmtId="0" fontId="10" fillId="4" borderId="11" xfId="0" applyFont="1" applyFill="1" applyBorder="1" applyAlignment="1">
      <alignment horizontal="left" vertical="center" wrapText="1"/>
    </xf>
    <xf numFmtId="0" fontId="10" fillId="2" borderId="11" xfId="0" applyFont="1" applyFill="1" applyBorder="1" applyAlignment="1">
      <alignment horizontal="left" vertical="center" wrapText="1"/>
    </xf>
    <xf numFmtId="0" fontId="10" fillId="4" borderId="14" xfId="0" applyFont="1" applyFill="1" applyBorder="1" applyAlignment="1">
      <alignment horizontal="left" vertical="center"/>
    </xf>
    <xf numFmtId="0" fontId="9" fillId="3" borderId="15" xfId="0" applyFont="1" applyFill="1" applyBorder="1" applyAlignment="1">
      <alignment horizontal="center" vertical="center" wrapText="1"/>
    </xf>
    <xf numFmtId="0" fontId="14" fillId="3" borderId="2" xfId="0" applyFont="1" applyFill="1" applyBorder="1" applyAlignment="1">
      <alignment horizontal="right" vertical="top"/>
    </xf>
    <xf numFmtId="49" fontId="0" fillId="0" borderId="0" xfId="0" applyNumberFormat="1" applyFill="1" applyBorder="1" applyAlignment="1" applyProtection="1"/>
    <xf numFmtId="49" fontId="10" fillId="2" borderId="4" xfId="0" applyNumberFormat="1" applyFont="1" applyFill="1" applyBorder="1" applyAlignment="1">
      <alignment horizontal="left"/>
    </xf>
    <xf numFmtId="49" fontId="10" fillId="2" borderId="0" xfId="0" applyNumberFormat="1" applyFont="1" applyFill="1" applyBorder="1" applyAlignment="1"/>
    <xf numFmtId="49" fontId="4" fillId="2" borderId="4" xfId="0" applyNumberFormat="1" applyFont="1" applyFill="1" applyBorder="1" applyAlignment="1">
      <alignment horizontal="left"/>
    </xf>
    <xf numFmtId="49" fontId="4" fillId="2" borderId="5" xfId="0" applyNumberFormat="1" applyFont="1" applyFill="1" applyBorder="1" applyAlignment="1">
      <alignment horizontal="left"/>
    </xf>
    <xf numFmtId="0" fontId="10" fillId="0" borderId="0" xfId="0" applyNumberFormat="1" applyFont="1" applyFill="1" applyBorder="1" applyAlignment="1" applyProtection="1">
      <alignment wrapText="1"/>
    </xf>
    <xf numFmtId="0" fontId="9" fillId="3" borderId="16" xfId="0" applyFont="1" applyFill="1" applyBorder="1" applyAlignment="1">
      <alignment horizontal="center" vertical="center" wrapText="1"/>
    </xf>
    <xf numFmtId="0" fontId="10" fillId="4" borderId="16" xfId="0" applyFont="1" applyFill="1" applyBorder="1" applyAlignment="1">
      <alignment horizontal="center" vertical="center" wrapText="1"/>
    </xf>
    <xf numFmtId="0" fontId="10" fillId="2" borderId="16" xfId="0" applyFont="1" applyFill="1" applyBorder="1" applyAlignment="1">
      <alignment horizontal="center" vertical="center" wrapText="1"/>
    </xf>
    <xf numFmtId="0" fontId="10" fillId="4" borderId="17" xfId="0" applyFont="1" applyFill="1" applyBorder="1" applyAlignment="1">
      <alignment horizontal="center" vertical="center" wrapText="1"/>
    </xf>
    <xf numFmtId="0" fontId="14" fillId="3" borderId="2" xfId="0" applyFont="1" applyFill="1" applyBorder="1" applyAlignment="1">
      <alignment vertical="top" wrapText="1"/>
    </xf>
    <xf numFmtId="0" fontId="3" fillId="0" borderId="18" xfId="0" applyNumberFormat="1" applyFont="1" applyFill="1" applyBorder="1" applyAlignment="1" applyProtection="1"/>
    <xf numFmtId="0" fontId="10" fillId="4" borderId="19" xfId="0" applyNumberFormat="1" applyFont="1" applyFill="1" applyBorder="1" applyAlignment="1">
      <alignment horizontal="center" vertical="center" wrapText="1"/>
    </xf>
    <xf numFmtId="0" fontId="10" fillId="0" borderId="19" xfId="0" applyNumberFormat="1" applyFont="1" applyFill="1" applyBorder="1" applyAlignment="1">
      <alignment horizontal="center" vertical="center" wrapText="1"/>
    </xf>
    <xf numFmtId="0" fontId="10" fillId="4" borderId="20" xfId="0" applyNumberFormat="1" applyFont="1" applyFill="1" applyBorder="1" applyAlignment="1">
      <alignment horizontal="center" vertical="center"/>
    </xf>
    <xf numFmtId="0" fontId="10" fillId="0" borderId="2" xfId="0" applyNumberFormat="1" applyFont="1" applyFill="1" applyBorder="1" applyAlignment="1" applyProtection="1">
      <alignment horizontal="center" vertical="center"/>
    </xf>
    <xf numFmtId="0" fontId="10" fillId="0" borderId="7" xfId="0" applyNumberFormat="1" applyFont="1" applyFill="1" applyBorder="1" applyAlignment="1" applyProtection="1">
      <alignment vertical="center"/>
    </xf>
    <xf numFmtId="49" fontId="10" fillId="4" borderId="12" xfId="0" applyNumberFormat="1" applyFont="1" applyFill="1" applyBorder="1" applyAlignment="1">
      <alignment horizontal="left" vertical="center" wrapText="1"/>
    </xf>
    <xf numFmtId="49" fontId="10" fillId="2" borderId="12" xfId="0" applyNumberFormat="1" applyFont="1" applyFill="1" applyBorder="1" applyAlignment="1">
      <alignment horizontal="left" vertical="center" wrapText="1"/>
    </xf>
    <xf numFmtId="49" fontId="10" fillId="4" borderId="21" xfId="0" applyNumberFormat="1" applyFont="1" applyFill="1" applyBorder="1" applyAlignment="1">
      <alignment horizontal="left" vertical="center"/>
    </xf>
    <xf numFmtId="49" fontId="3" fillId="0" borderId="10" xfId="0" applyNumberFormat="1" applyFont="1" applyFill="1" applyBorder="1" applyAlignment="1" applyProtection="1"/>
    <xf numFmtId="49" fontId="1" fillId="0" borderId="0" xfId="0" applyNumberFormat="1" applyFont="1" applyAlignment="1">
      <alignment horizontal="left" vertical="center"/>
    </xf>
    <xf numFmtId="49" fontId="3" fillId="0" borderId="0" xfId="0" applyNumberFormat="1" applyFont="1" applyFill="1" applyBorder="1" applyAlignment="1" applyProtection="1"/>
    <xf numFmtId="0" fontId="13" fillId="2" borderId="0" xfId="1" applyFill="1" applyBorder="1" applyAlignment="1">
      <alignment horizontal="center" vertical="top"/>
    </xf>
    <xf numFmtId="0" fontId="13" fillId="2" borderId="1" xfId="1" applyFill="1" applyBorder="1" applyAlignment="1">
      <alignment horizontal="center" vertical="top"/>
    </xf>
    <xf numFmtId="0" fontId="7" fillId="2" borderId="22" xfId="0" applyFont="1" applyFill="1" applyBorder="1" applyAlignment="1">
      <alignment horizontal="left" vertical="center"/>
    </xf>
    <xf numFmtId="0" fontId="7" fillId="2" borderId="1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top" wrapText="1"/>
    </xf>
    <xf numFmtId="0" fontId="3" fillId="2" borderId="1" xfId="0" applyFont="1" applyFill="1" applyBorder="1" applyAlignment="1">
      <alignment horizontal="center" vertical="top" wrapText="1"/>
    </xf>
    <xf numFmtId="0" fontId="10" fillId="0" borderId="23" xfId="0" applyNumberFormat="1" applyFont="1" applyFill="1" applyBorder="1" applyAlignment="1" applyProtection="1">
      <alignment horizontal="center" vertical="center" wrapText="1"/>
    </xf>
    <xf numFmtId="0" fontId="10" fillId="0" borderId="24" xfId="0" applyNumberFormat="1" applyFont="1" applyFill="1" applyBorder="1" applyAlignment="1" applyProtection="1">
      <alignment horizontal="center" vertical="center" wrapText="1"/>
    </xf>
    <xf numFmtId="0" fontId="13" fillId="2" borderId="0" xfId="1" applyFill="1" applyBorder="1" applyAlignment="1">
      <alignment horizontal="center" vertical="top"/>
    </xf>
    <xf numFmtId="0" fontId="13" fillId="2" borderId="1" xfId="1" applyFill="1" applyBorder="1" applyAlignment="1">
      <alignment horizontal="center" vertical="top"/>
    </xf>
  </cellXfs>
  <cellStyles count="2">
    <cellStyle name="Link" xfId="1" builtinId="8"/>
    <cellStyle name="Standard" xfId="0" builtinId="0"/>
  </cellStyles>
  <dxfs count="12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371475</xdr:colOff>
      <xdr:row>2</xdr:row>
      <xdr:rowOff>95250</xdr:rowOff>
    </xdr:from>
    <xdr:to>
      <xdr:col>9</xdr:col>
      <xdr:colOff>838200</xdr:colOff>
      <xdr:row>4</xdr:row>
      <xdr:rowOff>228600</xdr:rowOff>
    </xdr:to>
    <xdr:pic>
      <xdr:nvPicPr>
        <xdr:cNvPr id="1148" name="Grafik 1">
          <a:extLst>
            <a:ext uri="{FF2B5EF4-FFF2-40B4-BE49-F238E27FC236}">
              <a16:creationId xmlns:a16="http://schemas.microsoft.com/office/drawing/2014/main" id="{1562169D-27A2-4B29-B3D9-77AB82AAEE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8150" y="628650"/>
          <a:ext cx="1524000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imar.d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0000"/>
  </sheetPr>
  <dimension ref="A1:T14"/>
  <sheetViews>
    <sheetView topLeftCell="H1" workbookViewId="0">
      <selection activeCell="T5" sqref="T5"/>
    </sheetView>
  </sheetViews>
  <sheetFormatPr baseColWidth="10" defaultRowHeight="12.75" x14ac:dyDescent="0.2"/>
  <cols>
    <col min="1" max="10" width="30" customWidth="1"/>
    <col min="13" max="13" width="22.42578125" customWidth="1"/>
    <col min="14" max="14" width="13.140625" customWidth="1"/>
  </cols>
  <sheetData>
    <row r="1" spans="1:20" x14ac:dyDescent="0.2">
      <c r="M1" t="s">
        <v>23</v>
      </c>
      <c r="N1" t="s">
        <v>25</v>
      </c>
      <c r="O1" t="s">
        <v>26</v>
      </c>
      <c r="P1" t="s">
        <v>27</v>
      </c>
      <c r="Q1" t="s">
        <v>28</v>
      </c>
      <c r="R1" t="s">
        <v>33</v>
      </c>
    </row>
    <row r="2" spans="1:20" x14ac:dyDescent="0.2">
      <c r="M2" t="s">
        <v>6</v>
      </c>
      <c r="N2" s="40" t="s">
        <v>29</v>
      </c>
      <c r="O2" s="40" t="s">
        <v>30</v>
      </c>
      <c r="P2" s="40" t="s">
        <v>31</v>
      </c>
      <c r="Q2" s="40" t="s">
        <v>32</v>
      </c>
      <c r="R2" s="40" t="s">
        <v>34</v>
      </c>
    </row>
    <row r="4" spans="1:20" x14ac:dyDescent="0.2">
      <c r="T4" t="s">
        <v>47</v>
      </c>
    </row>
    <row r="5" spans="1:20" x14ac:dyDescent="0.2">
      <c r="T5" t="str">
        <f>CONCATENATE("FIT-",N2,"-",O2,"-",P2,R2,"-",M2,".xlsx")</f>
        <v>FIT-Field=PN1-Field=PN2-Field=PN3Field=VariantName-Field=Baugruppe.xlsx</v>
      </c>
    </row>
    <row r="7" spans="1:20" x14ac:dyDescent="0.2">
      <c r="T7" t="s">
        <v>35</v>
      </c>
    </row>
    <row r="8" spans="1:20" x14ac:dyDescent="0.2">
      <c r="T8" t="str">
        <f>CONCATENATE(N2,"-",O2,"-",P2,"xx",Q2)</f>
        <v>Field=PN1-Field=PN2-Field=PN3xxField=PN4</v>
      </c>
    </row>
    <row r="10" spans="1:20" x14ac:dyDescent="0.2">
      <c r="T10" t="s">
        <v>36</v>
      </c>
    </row>
    <row r="11" spans="1:20" x14ac:dyDescent="0.2">
      <c r="T11" t="str">
        <f>CONCATENATE(N2,"-",O2,"-",P2,R2)</f>
        <v>Field=PN1-Field=PN2-Field=PN3Field=VariantName</v>
      </c>
    </row>
    <row r="12" spans="1:20" x14ac:dyDescent="0.2">
      <c r="A12" s="13" t="s">
        <v>52</v>
      </c>
      <c r="B12" s="13" t="s">
        <v>10</v>
      </c>
      <c r="C12" s="13" t="s">
        <v>9</v>
      </c>
      <c r="D12" s="13" t="s">
        <v>19</v>
      </c>
      <c r="E12" s="13" t="s">
        <v>11</v>
      </c>
      <c r="F12" s="13" t="s">
        <v>20</v>
      </c>
      <c r="G12" s="13" t="s">
        <v>45</v>
      </c>
      <c r="H12" s="13" t="s">
        <v>39</v>
      </c>
      <c r="I12" s="13" t="s">
        <v>44</v>
      </c>
      <c r="J12" s="13" t="s">
        <v>43</v>
      </c>
      <c r="L12">
        <v>0</v>
      </c>
    </row>
    <row r="13" spans="1:20" x14ac:dyDescent="0.2">
      <c r="L13">
        <f ca="1">IF(AND(Hilfstabelle!$A13="",(INDIRECT("Hilfstabelle!A"&amp;(ROW()+1)))="",Hilfstabelle!$B13="",(INDIRECT("Hilfstabelle!B"&amp;(ROW()+1)))=""),0,IF(AND(Hilfstabelle!$A13="",(INDIRECT("Hilfstabelle!A"&amp;(ROW()+1)))=""),IF(Hilfstabelle!$B13=(INDIRECT("Hilfstabelle!B"&amp;(ROW()+1))),1,0),IF(AND(Hilfstabelle!$B13="",(INDIRECT("Hilfstabelle!B"&amp;(ROW()+1)))=""),IF(Hilfstabelle!$A13=(INDIRECT("Hilfstabelle!A"&amp;(ROW()+1))),1,0),IF(AND(Hilfstabelle!$A13="",(INDIRECT("Hilfstabelle!B"&amp;(ROW()+1)))=""),IF((INDIRECT("Hilfstabelle!A"&amp;(ROW()+1)))=Hilfstabelle!$B13,1,0),IF(AND((INDIRECT("Hilfstabelle!A"&amp;(ROW()+1)))="",Hilfstabelle!$B13=""),IF(Hilfstabelle!$A13=(INDIRECT("Hilfstabelle!B"&amp;(ROW()+1))),1,0))))))</f>
        <v>0</v>
      </c>
    </row>
    <row r="14" spans="1:20" x14ac:dyDescent="0.2">
      <c r="L14">
        <f ca="1">IF(AND(Hilfstabelle!$A14="",(INDIRECT("Hilfstabelle!A"&amp;(ROW()+1)))="",Hilfstabelle!$B14="",(INDIRECT("Hilfstabelle!B"&amp;(ROW()+1)))=""),0,IF(AND(Hilfstabelle!$A14="",(INDIRECT("Hilfstabelle!A"&amp;(ROW()+1)))=""),IF(Hilfstabelle!$B14=(INDIRECT("Hilfstabelle!B"&amp;(ROW()+1))),1,0),IF(AND(Hilfstabelle!$B14="",(INDIRECT("Hilfstabelle!B"&amp;(ROW()+1)))=""),IF(Hilfstabelle!$A14=(INDIRECT("Hilfstabelle!A"&amp;(ROW()+1))),1,0),IF(AND(Hilfstabelle!$A14="",(INDIRECT("Hilfstabelle!B"&amp;(ROW()+1)))=""),IF((INDIRECT("Hilfstabelle!A"&amp;(ROW()+1)))=Hilfstabelle!$B14,1,0),IF(AND((INDIRECT("Hilfstabelle!A"&amp;(ROW()+1)))="",Hilfstabelle!$B14=""),IF(Hilfstabelle!$A14=(INDIRECT("Hilfstabelle!B"&amp;(ROW()+1))),1,0))))))</f>
        <v>0</v>
      </c>
    </row>
  </sheetData>
  <conditionalFormatting sqref="A12">
    <cfRule type="cellIs" dxfId="11" priority="13" stopIfTrue="1" operator="equal">
      <formula>"NO"</formula>
    </cfRule>
  </conditionalFormatting>
  <conditionalFormatting sqref="B12">
    <cfRule type="cellIs" dxfId="10" priority="12" stopIfTrue="1" operator="equal">
      <formula>"NO"</formula>
    </cfRule>
  </conditionalFormatting>
  <conditionalFormatting sqref="C12">
    <cfRule type="cellIs" dxfId="9" priority="11" stopIfTrue="1" operator="equal">
      <formula>"NO"</formula>
    </cfRule>
  </conditionalFormatting>
  <conditionalFormatting sqref="D12">
    <cfRule type="cellIs" dxfId="8" priority="10" stopIfTrue="1" operator="equal">
      <formula>"NO"</formula>
    </cfRule>
  </conditionalFormatting>
  <conditionalFormatting sqref="E12">
    <cfRule type="cellIs" dxfId="7" priority="9" stopIfTrue="1" operator="equal">
      <formula>"NO"</formula>
    </cfRule>
  </conditionalFormatting>
  <conditionalFormatting sqref="F12:G12">
    <cfRule type="cellIs" dxfId="6" priority="8" stopIfTrue="1" operator="equal">
      <formula>"NO"</formula>
    </cfRule>
  </conditionalFormatting>
  <conditionalFormatting sqref="H12">
    <cfRule type="cellIs" dxfId="5" priority="7" stopIfTrue="1" operator="equal">
      <formula>"NO"</formula>
    </cfRule>
  </conditionalFormatting>
  <conditionalFormatting sqref="J12">
    <cfRule type="cellIs" dxfId="4" priority="6" stopIfTrue="1" operator="equal">
      <formula>"NO"</formula>
    </cfRule>
  </conditionalFormatting>
  <conditionalFormatting sqref="I12">
    <cfRule type="cellIs" dxfId="3" priority="3" stopIfTrue="1" operator="equal">
      <formula>"NO"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B050"/>
    <pageSetUpPr fitToPage="1"/>
  </sheetPr>
  <dimension ref="A1:M17"/>
  <sheetViews>
    <sheetView tabSelected="1" zoomScaleNormal="100" workbookViewId="0">
      <selection activeCell="G26" sqref="G26"/>
    </sheetView>
  </sheetViews>
  <sheetFormatPr baseColWidth="10" defaultRowHeight="12.75" x14ac:dyDescent="0.2"/>
  <cols>
    <col min="1" max="1" width="0.5703125" style="1" customWidth="1"/>
    <col min="2" max="2" width="20.85546875" style="62" customWidth="1"/>
    <col min="3" max="3" width="6.42578125" style="1" hidden="1" customWidth="1"/>
    <col min="4" max="4" width="7.7109375" style="1" customWidth="1"/>
    <col min="5" max="5" width="19" style="1" customWidth="1"/>
    <col min="6" max="6" width="28.5703125" style="1" customWidth="1"/>
    <col min="7" max="7" width="19.28515625" style="1" customWidth="1"/>
    <col min="8" max="8" width="28.5703125" style="1" customWidth="1"/>
    <col min="9" max="9" width="15.85546875" style="1" customWidth="1"/>
    <col min="10" max="10" width="18.42578125" style="1" customWidth="1"/>
    <col min="11" max="11" width="18.85546875" style="1" customWidth="1"/>
    <col min="12" max="12" width="11.42578125" style="1"/>
    <col min="13" max="13" width="12.85546875" style="1" customWidth="1"/>
    <col min="14" max="16384" width="11.42578125" style="1"/>
  </cols>
  <sheetData>
    <row r="1" spans="1:13" s="3" customFormat="1" ht="22.5" customHeight="1" thickBot="1" x14ac:dyDescent="0.25">
      <c r="A1" s="7"/>
      <c r="B1" s="65" t="s">
        <v>46</v>
      </c>
      <c r="C1" s="66"/>
      <c r="D1" s="24"/>
      <c r="E1" s="8"/>
      <c r="F1" s="8"/>
      <c r="G1" s="8"/>
      <c r="H1" s="39"/>
      <c r="I1" s="39" t="s">
        <v>48</v>
      </c>
      <c r="J1" s="50" t="s">
        <v>53</v>
      </c>
    </row>
    <row r="2" spans="1:13" s="23" customFormat="1" ht="20.100000000000001" customHeight="1" x14ac:dyDescent="0.2">
      <c r="A2" s="21"/>
      <c r="B2" s="22" t="s">
        <v>15</v>
      </c>
      <c r="C2" s="4"/>
      <c r="D2" s="44" t="str">
        <f>Hilfstabelle!T5</f>
        <v>FIT-Field=PN1-Field=PN2-Field=PN3Field=VariantName-Field=Baugruppe.xlsx</v>
      </c>
      <c r="E2" s="11"/>
      <c r="F2" s="6"/>
      <c r="G2" s="6"/>
      <c r="H2" s="6"/>
      <c r="I2" s="6"/>
      <c r="J2" s="5"/>
    </row>
    <row r="3" spans="1:13" s="23" customFormat="1" ht="20.100000000000001" customHeight="1" x14ac:dyDescent="0.2">
      <c r="A3" s="21"/>
      <c r="B3" s="22" t="s">
        <v>5</v>
      </c>
      <c r="C3" s="4"/>
      <c r="D3" s="43" t="s">
        <v>24</v>
      </c>
      <c r="E3" s="10"/>
      <c r="F3" s="6"/>
      <c r="G3" s="6"/>
      <c r="H3" s="6"/>
      <c r="I3" s="6"/>
      <c r="J3" s="5"/>
    </row>
    <row r="4" spans="1:13" s="23" customFormat="1" ht="20.100000000000001" customHeight="1" x14ac:dyDescent="0.2">
      <c r="A4" s="21"/>
      <c r="B4" s="22" t="s">
        <v>2</v>
      </c>
      <c r="C4" s="4"/>
      <c r="D4" s="43" t="str">
        <f>Hilfstabelle!T8</f>
        <v>Field=PN1-Field=PN2-Field=PN3xxField=PN4</v>
      </c>
      <c r="E4" s="10"/>
      <c r="F4" s="6"/>
      <c r="G4" s="6"/>
      <c r="H4" s="6"/>
      <c r="I4" s="6"/>
      <c r="J4" s="5"/>
    </row>
    <row r="5" spans="1:13" s="23" customFormat="1" ht="20.100000000000001" customHeight="1" x14ac:dyDescent="0.2">
      <c r="A5" s="21"/>
      <c r="B5" s="22" t="s">
        <v>7</v>
      </c>
      <c r="C5" s="4"/>
      <c r="D5" s="43" t="s">
        <v>51</v>
      </c>
      <c r="E5" s="10"/>
      <c r="F5" s="6"/>
      <c r="G5" s="6"/>
      <c r="H5" s="6"/>
      <c r="I5" s="6"/>
      <c r="J5" s="5"/>
    </row>
    <row r="6" spans="1:13" s="23" customFormat="1" ht="20.100000000000001" customHeight="1" x14ac:dyDescent="0.2">
      <c r="A6" s="21"/>
      <c r="B6" s="22" t="s">
        <v>4</v>
      </c>
      <c r="C6" s="4"/>
      <c r="D6" s="43" t="str">
        <f>Hilfstabelle!T11</f>
        <v>Field=PN1-Field=PN2-Field=PN3Field=VariantName</v>
      </c>
      <c r="E6" s="10"/>
      <c r="F6" s="6"/>
      <c r="G6" s="6"/>
      <c r="H6" s="6"/>
      <c r="I6" s="67" t="s">
        <v>37</v>
      </c>
      <c r="J6" s="68"/>
    </row>
    <row r="7" spans="1:13" s="23" customFormat="1" ht="20.100000000000001" customHeight="1" x14ac:dyDescent="0.2">
      <c r="A7" s="21"/>
      <c r="B7" s="22" t="s">
        <v>3</v>
      </c>
      <c r="C7" s="4"/>
      <c r="D7" s="43" t="s">
        <v>16</v>
      </c>
      <c r="E7" s="10"/>
      <c r="F7" s="6"/>
      <c r="G7" s="6"/>
      <c r="H7" s="6"/>
      <c r="I7" s="67"/>
      <c r="J7" s="68"/>
    </row>
    <row r="8" spans="1:13" s="23" customFormat="1" ht="19.5" customHeight="1" x14ac:dyDescent="0.2">
      <c r="A8" s="21"/>
      <c r="B8" s="22" t="s">
        <v>13</v>
      </c>
      <c r="C8" s="4"/>
      <c r="D8" s="43" t="s">
        <v>17</v>
      </c>
      <c r="E8" s="10"/>
      <c r="F8" s="6"/>
      <c r="G8" s="6"/>
      <c r="H8" s="6"/>
      <c r="I8" s="71" t="s">
        <v>38</v>
      </c>
      <c r="J8" s="72"/>
    </row>
    <row r="9" spans="1:13" s="23" customFormat="1" ht="12.75" customHeight="1" x14ac:dyDescent="0.2">
      <c r="A9" s="21"/>
      <c r="B9" s="9"/>
      <c r="C9" s="33"/>
      <c r="D9" s="43"/>
      <c r="E9" s="10"/>
      <c r="F9" s="6"/>
      <c r="G9" s="6"/>
      <c r="H9" s="6"/>
      <c r="I9" s="63"/>
      <c r="J9" s="64"/>
    </row>
    <row r="10" spans="1:13" s="20" customFormat="1" ht="14.1" customHeight="1" x14ac:dyDescent="0.2">
      <c r="A10" s="12"/>
      <c r="B10" s="17" t="s">
        <v>14</v>
      </c>
      <c r="C10" s="18"/>
      <c r="D10" s="42" t="s">
        <v>49</v>
      </c>
      <c r="E10" s="18"/>
      <c r="F10" s="18"/>
      <c r="G10" s="18"/>
      <c r="H10" s="18"/>
      <c r="I10" s="18"/>
      <c r="J10" s="19"/>
    </row>
    <row r="11" spans="1:13" s="20" customFormat="1" ht="14.1" customHeight="1" x14ac:dyDescent="0.2">
      <c r="A11" s="12"/>
      <c r="B11" s="17" t="s">
        <v>12</v>
      </c>
      <c r="C11" s="18"/>
      <c r="D11" s="41" t="s">
        <v>50</v>
      </c>
      <c r="E11" s="18"/>
      <c r="F11" s="18"/>
      <c r="G11" s="18"/>
      <c r="H11" s="18"/>
      <c r="I11" s="18"/>
      <c r="J11" s="19"/>
    </row>
    <row r="12" spans="1:13" s="14" customFormat="1" ht="35.25" customHeight="1" x14ac:dyDescent="0.2">
      <c r="A12" s="12"/>
      <c r="B12" s="31" t="s">
        <v>1</v>
      </c>
      <c r="C12" s="34"/>
      <c r="D12" s="13" t="s">
        <v>0</v>
      </c>
      <c r="E12" s="13" t="s">
        <v>18</v>
      </c>
      <c r="F12" s="34" t="s">
        <v>22</v>
      </c>
      <c r="G12" s="13" t="s">
        <v>8</v>
      </c>
      <c r="H12" s="30" t="s">
        <v>21</v>
      </c>
      <c r="I12" s="46" t="s">
        <v>40</v>
      </c>
      <c r="J12" s="38" t="s">
        <v>41</v>
      </c>
      <c r="K12" s="45"/>
      <c r="L12" s="45"/>
      <c r="M12" s="45"/>
    </row>
    <row r="13" spans="1:13" s="14" customFormat="1" ht="11.25" x14ac:dyDescent="0.2">
      <c r="A13" s="12"/>
      <c r="B13" s="57"/>
      <c r="C13" s="35"/>
      <c r="D13" s="15"/>
      <c r="E13" s="29">
        <f>IF(Hilfstabelle!$A13="",Hilfstabelle!$B13,Hilfstabelle!$A13)</f>
        <v>0</v>
      </c>
      <c r="F13" s="29">
        <f>IF(Hilfstabelle!$C13="",Hilfstabelle!$D13,Hilfstabelle!$C13)</f>
        <v>0</v>
      </c>
      <c r="G13" s="15"/>
      <c r="H13" s="47">
        <f>IF(Hilfstabelle!$E13="",Hilfstabelle!$F13,Hilfstabelle!$E13)</f>
        <v>0</v>
      </c>
      <c r="I13" s="15">
        <f>IF(Hilfstabelle!$G13="",Hilfstabelle!$H13,Hilfstabelle!$G13)</f>
        <v>0</v>
      </c>
      <c r="J13" s="52">
        <f>I13*D13</f>
        <v>0</v>
      </c>
    </row>
    <row r="14" spans="1:13" s="14" customFormat="1" ht="11.25" x14ac:dyDescent="0.2">
      <c r="A14" s="12"/>
      <c r="B14" s="58"/>
      <c r="C14" s="36"/>
      <c r="D14" s="16"/>
      <c r="E14" s="28">
        <f>IF(Hilfstabelle!$A14="",Hilfstabelle!$B14,Hilfstabelle!$A14)</f>
        <v>0</v>
      </c>
      <c r="F14" s="28">
        <f>IF(Hilfstabelle!$C14="",Hilfstabelle!$D14,Hilfstabelle!$C14)</f>
        <v>0</v>
      </c>
      <c r="G14" s="16"/>
      <c r="H14" s="48">
        <f>IF(Hilfstabelle!$C14="",Hilfstabelle!$D14,Hilfstabelle!$C14)</f>
        <v>0</v>
      </c>
      <c r="I14" s="28">
        <f>IF(Hilfstabelle!$G14="",Hilfstabelle!$H14,Hilfstabelle!$G14)</f>
        <v>0</v>
      </c>
      <c r="J14" s="53">
        <f>I14*D14</f>
        <v>0</v>
      </c>
    </row>
    <row r="15" spans="1:13" s="14" customFormat="1" ht="12" thickBot="1" x14ac:dyDescent="0.25">
      <c r="A15" s="12"/>
      <c r="B15" s="59"/>
      <c r="C15" s="37"/>
      <c r="D15" s="25"/>
      <c r="E15" s="26"/>
      <c r="F15" s="26"/>
      <c r="G15" s="26"/>
      <c r="H15" s="49"/>
      <c r="I15" s="32"/>
      <c r="J15" s="54"/>
    </row>
    <row r="16" spans="1:13" ht="13.5" thickBot="1" x14ac:dyDescent="0.25">
      <c r="B16" s="60"/>
      <c r="C16" s="27"/>
      <c r="D16" s="27"/>
      <c r="E16" s="27"/>
      <c r="F16" s="27"/>
      <c r="G16" s="27"/>
      <c r="H16" s="27"/>
      <c r="I16" s="27"/>
      <c r="J16" s="51"/>
    </row>
    <row r="17" spans="2:11" ht="25.5" customHeight="1" thickBot="1" x14ac:dyDescent="0.25">
      <c r="B17" s="61"/>
      <c r="C17" s="2"/>
      <c r="H17" s="69" t="s">
        <v>42</v>
      </c>
      <c r="I17" s="70"/>
      <c r="J17" s="55">
        <f>SUM(J13:J16)</f>
        <v>0</v>
      </c>
      <c r="K17" s="56"/>
    </row>
  </sheetData>
  <mergeCells count="4">
    <mergeCell ref="B1:C1"/>
    <mergeCell ref="I6:J7"/>
    <mergeCell ref="H17:I17"/>
    <mergeCell ref="I8:J8"/>
  </mergeCells>
  <phoneticPr fontId="2" type="noConversion"/>
  <conditionalFormatting sqref="B12:I12">
    <cfRule type="cellIs" dxfId="2" priority="4" stopIfTrue="1" operator="equal">
      <formula>"NO"</formula>
    </cfRule>
  </conditionalFormatting>
  <conditionalFormatting sqref="J12">
    <cfRule type="cellIs" dxfId="1" priority="3" stopIfTrue="1" operator="equal">
      <formula>"NO"</formula>
    </cfRule>
  </conditionalFormatting>
  <conditionalFormatting sqref="J12">
    <cfRule type="cellIs" dxfId="0" priority="1" stopIfTrue="1" operator="equal">
      <formula>"NO"</formula>
    </cfRule>
  </conditionalFormatting>
  <hyperlinks>
    <hyperlink ref="I8" r:id="rId1" xr:uid="{00000000-0004-0000-0100-000000000000}"/>
  </hyperlinks>
  <printOptions horizontalCentered="1"/>
  <pageMargins left="0.78740157480314965" right="0.78740157480314965" top="0.98425196850393704" bottom="0.98425196850393704" header="0" footer="0"/>
  <pageSetup paperSize="9" scale="93" fitToHeight="100" orientation="landscape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Hilfstabelle</vt:lpstr>
      <vt:lpstr>FIT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 Bott</dc:creator>
  <cp:lastModifiedBy>Christian Schmidt</cp:lastModifiedBy>
  <cp:lastPrinted>2011-08-12T09:05:30Z</cp:lastPrinted>
  <dcterms:created xsi:type="dcterms:W3CDTF">2004-05-26T01:39:55Z</dcterms:created>
  <dcterms:modified xsi:type="dcterms:W3CDTF">2024-03-14T09:33:05Z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2057040473</vt:i4>
  </property>
  <property fmtid="{D5CDD505-2E9C-101B-9397-08002B2CF9AE}" pid="3" name="_EmailSubject">
    <vt:lpwstr>BOM Example</vt:lpwstr>
  </property>
  <property fmtid="{D5CDD505-2E9C-101B-9397-08002B2CF9AE}" pid="4" name="_AuthorEmail">
    <vt:lpwstr>ehsan.amiri@altium.com</vt:lpwstr>
  </property>
  <property fmtid="{D5CDD505-2E9C-101B-9397-08002B2CF9AE}" pid="5" name="_AuthorEmailDisplayName">
    <vt:lpwstr>Ehsan Amiri</vt:lpwstr>
  </property>
  <property fmtid="{D5CDD505-2E9C-101B-9397-08002B2CF9AE}" pid="6" name="_PreviousAdHocReviewCycleID">
    <vt:i4>-234167776</vt:i4>
  </property>
  <property fmtid="{D5CDD505-2E9C-101B-9397-08002B2CF9AE}" pid="7" name="_ReviewingToolsShownOnce">
    <vt:lpwstr/>
  </property>
</Properties>
</file>